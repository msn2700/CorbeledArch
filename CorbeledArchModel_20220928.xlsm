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acked Up Files\Physics\Journal Submissions\MT Article - Corbeled Arch\Revision 1\"/>
    </mc:Choice>
  </mc:AlternateContent>
  <xr:revisionPtr revIDLastSave="0" documentId="13_ncr:1_{A45BE23C-1A76-4A10-BD44-38DCAA24AD87}" xr6:coauthVersionLast="47" xr6:coauthVersionMax="47" xr10:uidLastSave="{00000000-0000-0000-0000-000000000000}"/>
  <bookViews>
    <workbookView xWindow="-120" yWindow="-120" windowWidth="20730" windowHeight="11160" xr2:uid="{39788D9D-9DA6-4283-B9AA-04C434629891}"/>
  </bookViews>
  <sheets>
    <sheet name="Sketch" sheetId="2" r:id="rId1"/>
    <sheet name="Model" sheetId="3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4" i="2" l="1"/>
  <c r="AD5" i="2"/>
  <c r="AD6" i="2"/>
  <c r="AD7" i="2"/>
  <c r="AD8" i="2"/>
  <c r="AD9" i="2"/>
  <c r="AD10" i="2"/>
  <c r="AD11" i="2"/>
  <c r="AD12" i="2"/>
  <c r="AD3" i="2"/>
  <c r="AC4" i="2"/>
  <c r="AC5" i="2"/>
  <c r="AC6" i="2"/>
  <c r="AC7" i="2"/>
  <c r="AC8" i="2"/>
  <c r="AC9" i="2"/>
  <c r="AC10" i="2"/>
  <c r="AC11" i="2"/>
  <c r="AC12" i="2"/>
  <c r="AC3" i="2"/>
  <c r="L15" i="3"/>
  <c r="M15" i="3"/>
  <c r="L14" i="3"/>
  <c r="N7" i="3"/>
  <c r="N8" i="3"/>
  <c r="N9" i="3"/>
  <c r="N10" i="3"/>
  <c r="N11" i="3"/>
  <c r="N12" i="3"/>
  <c r="N13" i="3"/>
  <c r="N14" i="3"/>
  <c r="N15" i="3"/>
  <c r="M7" i="3"/>
  <c r="M8" i="3"/>
  <c r="M9" i="3"/>
  <c r="M10" i="3"/>
  <c r="M11" i="3"/>
  <c r="M12" i="3"/>
  <c r="M13" i="3"/>
  <c r="M14" i="3"/>
  <c r="L7" i="3"/>
  <c r="L8" i="3"/>
  <c r="L9" i="3"/>
  <c r="L10" i="3"/>
  <c r="L11" i="3"/>
  <c r="L12" i="3"/>
  <c r="L13" i="3"/>
  <c r="K7" i="3"/>
  <c r="K8" i="3"/>
  <c r="K9" i="3"/>
  <c r="K10" i="3"/>
  <c r="K11" i="3"/>
  <c r="K12" i="3"/>
  <c r="J7" i="3"/>
  <c r="J8" i="3"/>
  <c r="J9" i="3"/>
  <c r="J10" i="3"/>
  <c r="J11" i="3"/>
  <c r="I7" i="3"/>
  <c r="I8" i="3"/>
  <c r="I9" i="3"/>
  <c r="I10" i="3"/>
  <c r="H7" i="3"/>
  <c r="H8" i="3"/>
  <c r="H9" i="3"/>
  <c r="G7" i="3"/>
  <c r="G8" i="3"/>
  <c r="F7" i="3"/>
  <c r="N6" i="3"/>
  <c r="F6" i="3"/>
  <c r="G6" i="3"/>
  <c r="H6" i="3"/>
  <c r="I6" i="3"/>
  <c r="J6" i="3"/>
  <c r="K6" i="3"/>
  <c r="L6" i="3"/>
  <c r="M6" i="3"/>
  <c r="E6" i="3"/>
  <c r="E16" i="3" s="1"/>
  <c r="E17" i="3" s="1"/>
  <c r="H16" i="3" l="1"/>
  <c r="H17" i="3" s="1"/>
  <c r="K16" i="3"/>
  <c r="K17" i="3" s="1"/>
  <c r="G16" i="3"/>
  <c r="G17" i="3" s="1"/>
  <c r="F16" i="3"/>
  <c r="F17" i="3" s="1"/>
  <c r="J16" i="3"/>
  <c r="J17" i="3" s="1"/>
  <c r="L16" i="3"/>
  <c r="L17" i="3" s="1"/>
  <c r="N16" i="3"/>
  <c r="N17" i="3" s="1"/>
  <c r="I16" i="3"/>
  <c r="I17" i="3" s="1"/>
  <c r="M16" i="3"/>
  <c r="M17" i="3" s="1"/>
</calcChain>
</file>

<file path=xl/sharedStrings.xml><?xml version="1.0" encoding="utf-8"?>
<sst xmlns="http://schemas.openxmlformats.org/spreadsheetml/2006/main" count="12" uniqueCount="12">
  <si>
    <t>ID</t>
  </si>
  <si>
    <t>Length</t>
  </si>
  <si>
    <t>STATUS</t>
  </si>
  <si>
    <t>Overhang</t>
  </si>
  <si>
    <t>GAP BEING SPANNED</t>
  </si>
  <si>
    <t>Brick ID</t>
  </si>
  <si>
    <t>TOTAL TORQUE</t>
  </si>
  <si>
    <t>Pivot point coordinate… +x from the edge of the wall</t>
  </si>
  <si>
    <t>Wall supporting the left half of the arch</t>
  </si>
  <si>
    <t>Pivot ID</t>
  </si>
  <si>
    <t>Sum</t>
  </si>
  <si>
    <t>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</si>
</sst>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2" fillId="4" borderId="0" xfId="0" applyFont="1" applyFill="1"/>
    <xf numFmtId="0" fontId="0" fillId="0" borderId="0" xfId="0" applyAlignment="1">
      <alignment horizontal="right"/>
    </xf>
    <xf numFmtId="0" fontId="0" fillId="0" borderId="4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7" borderId="0" xfId="0" applyFill="1"/>
    <xf numFmtId="0" fontId="0" fillId="6" borderId="0" xfId="0" applyFill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 applyBorder="1" applyAlignment="1">
      <alignment horizontal="center"/>
    </xf>
  </cellXfs>
  <cellStyles count="1">
    <cellStyle name="Normal" xfId="0" builtinId="0"/>
  </cellStyles>
  <dxfs count="1"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47958-0142-4C64-9DE0-12F37BE4DE94}">
  <sheetPr codeName="Sheet2"/>
  <dimension ref="B1:AD16"/>
  <sheetViews>
    <sheetView tabSelected="1" zoomScale="90" zoomScaleNormal="90" workbookViewId="0">
      <selection activeCell="AF9" sqref="AF9"/>
    </sheetView>
  </sheetViews>
  <sheetFormatPr defaultRowHeight="15" x14ac:dyDescent="0.25"/>
  <cols>
    <col min="1" max="28" width="3.28515625" customWidth="1"/>
  </cols>
  <sheetData>
    <row r="1" spans="2:30" x14ac:dyDescent="0.25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7"/>
    </row>
    <row r="2" spans="2:30" x14ac:dyDescent="0.25">
      <c r="B2" s="1" t="s">
        <v>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3"/>
      <c r="R2" s="3"/>
      <c r="S2" s="3"/>
      <c r="T2" s="3"/>
      <c r="U2" s="3"/>
      <c r="V2" s="3"/>
      <c r="W2" s="3"/>
      <c r="X2" s="3"/>
      <c r="Y2" s="3"/>
      <c r="Z2" s="3"/>
      <c r="AA2" s="7"/>
      <c r="AB2" s="3"/>
      <c r="AC2" s="30" t="s">
        <v>10</v>
      </c>
      <c r="AD2" s="30" t="s">
        <v>11</v>
      </c>
    </row>
    <row r="3" spans="2:30" x14ac:dyDescent="0.25">
      <c r="B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1"/>
      <c r="P3" s="31"/>
      <c r="Q3" s="31"/>
      <c r="R3" s="31"/>
      <c r="S3" s="31"/>
      <c r="T3" s="31"/>
      <c r="U3" s="32"/>
      <c r="V3" s="4">
        <v>1</v>
      </c>
      <c r="W3" s="4">
        <v>1</v>
      </c>
      <c r="X3" s="4">
        <v>1</v>
      </c>
      <c r="Y3" s="5">
        <v>1</v>
      </c>
      <c r="Z3" s="5">
        <v>1</v>
      </c>
      <c r="AC3" s="30">
        <f>SUM(D3:Z3)</f>
        <v>5</v>
      </c>
      <c r="AD3" s="30">
        <f>Model!D6</f>
        <v>5</v>
      </c>
    </row>
    <row r="4" spans="2:30" x14ac:dyDescent="0.25">
      <c r="B4" s="1">
        <v>2</v>
      </c>
      <c r="D4" s="3"/>
      <c r="E4" s="3"/>
      <c r="F4" s="3"/>
      <c r="G4" s="3"/>
      <c r="H4" s="3"/>
      <c r="I4" s="3"/>
      <c r="J4" s="3"/>
      <c r="K4" s="3"/>
      <c r="L4" s="3"/>
      <c r="M4" s="3"/>
      <c r="N4" s="31"/>
      <c r="O4" s="31"/>
      <c r="P4" s="31"/>
      <c r="Q4" s="31"/>
      <c r="R4" s="31"/>
      <c r="S4" s="31"/>
      <c r="T4" s="31"/>
      <c r="U4" s="6">
        <v>1</v>
      </c>
      <c r="V4" s="4">
        <v>1</v>
      </c>
      <c r="W4" s="4">
        <v>1</v>
      </c>
      <c r="X4" s="5">
        <v>1</v>
      </c>
      <c r="Y4" s="10"/>
      <c r="Z4" s="10"/>
      <c r="AC4" s="30">
        <f t="shared" ref="AC4:AC12" si="0">SUM(D4:Z4)</f>
        <v>4</v>
      </c>
      <c r="AD4" s="30">
        <f>Model!D7</f>
        <v>4</v>
      </c>
    </row>
    <row r="5" spans="2:30" x14ac:dyDescent="0.25">
      <c r="B5" s="1">
        <v>3</v>
      </c>
      <c r="D5" s="3"/>
      <c r="E5" s="3"/>
      <c r="F5" s="3"/>
      <c r="H5" s="3"/>
      <c r="I5" s="3"/>
      <c r="J5" s="3"/>
      <c r="K5" s="3"/>
      <c r="L5" s="3"/>
      <c r="M5" s="31"/>
      <c r="N5" s="31"/>
      <c r="O5" s="31"/>
      <c r="P5" s="31"/>
      <c r="Q5" s="31"/>
      <c r="R5" s="31"/>
      <c r="S5" s="31"/>
      <c r="T5" s="32"/>
      <c r="U5" s="31"/>
      <c r="V5" s="15"/>
      <c r="W5" s="5">
        <v>1</v>
      </c>
      <c r="X5" s="9"/>
      <c r="Y5" s="10"/>
      <c r="Z5" s="10"/>
      <c r="AC5" s="30">
        <f t="shared" si="0"/>
        <v>1</v>
      </c>
      <c r="AD5" s="30">
        <f>Model!D8</f>
        <v>1</v>
      </c>
    </row>
    <row r="6" spans="2:30" x14ac:dyDescent="0.25">
      <c r="B6" s="1">
        <v>4</v>
      </c>
      <c r="D6" s="3"/>
      <c r="E6" s="3"/>
      <c r="F6" s="3"/>
      <c r="G6" s="3"/>
      <c r="H6" s="3"/>
      <c r="I6" s="3"/>
      <c r="J6" s="3"/>
      <c r="K6" s="3"/>
      <c r="L6" s="31"/>
      <c r="M6" s="31"/>
      <c r="N6" s="31"/>
      <c r="O6" s="31"/>
      <c r="P6" s="31"/>
      <c r="Q6" s="31"/>
      <c r="R6" s="31"/>
      <c r="S6" s="32"/>
      <c r="T6" s="31"/>
      <c r="U6" s="31"/>
      <c r="V6" s="15"/>
      <c r="W6" s="5">
        <v>1</v>
      </c>
      <c r="X6" s="9"/>
      <c r="Y6" s="10"/>
      <c r="Z6" s="10"/>
      <c r="AC6" s="30">
        <f t="shared" si="0"/>
        <v>1</v>
      </c>
      <c r="AD6" s="30">
        <f>Model!D9</f>
        <v>1</v>
      </c>
    </row>
    <row r="7" spans="2:30" x14ac:dyDescent="0.25">
      <c r="B7" s="1">
        <v>5</v>
      </c>
      <c r="D7" s="3"/>
      <c r="E7" s="3"/>
      <c r="F7" s="3"/>
      <c r="G7" s="3"/>
      <c r="H7" s="3"/>
      <c r="I7" s="3"/>
      <c r="J7" s="3"/>
      <c r="K7" s="31"/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6">
        <v>1</v>
      </c>
      <c r="U7" s="5">
        <v>1</v>
      </c>
      <c r="V7" s="5">
        <v>1</v>
      </c>
      <c r="W7" s="5">
        <v>1</v>
      </c>
      <c r="X7" s="9"/>
      <c r="Y7" s="10"/>
      <c r="Z7" s="10"/>
      <c r="AC7" s="30">
        <f t="shared" si="0"/>
        <v>12</v>
      </c>
      <c r="AD7" s="30">
        <f>Model!D10</f>
        <v>12</v>
      </c>
    </row>
    <row r="8" spans="2:30" x14ac:dyDescent="0.25">
      <c r="B8" s="1">
        <v>6</v>
      </c>
      <c r="D8" s="3"/>
      <c r="E8" s="3"/>
      <c r="F8" s="3"/>
      <c r="G8" s="3"/>
      <c r="H8" s="3"/>
      <c r="I8" s="3"/>
      <c r="J8" s="31"/>
      <c r="K8" s="31"/>
      <c r="L8" s="31"/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5">
        <v>1</v>
      </c>
      <c r="U8" s="8"/>
      <c r="V8" s="9"/>
      <c r="W8" s="9"/>
      <c r="X8" s="9"/>
      <c r="Y8" s="10"/>
      <c r="Z8" s="10"/>
      <c r="AC8" s="30">
        <f t="shared" si="0"/>
        <v>8</v>
      </c>
      <c r="AD8" s="30">
        <f>Model!D11</f>
        <v>8</v>
      </c>
    </row>
    <row r="9" spans="2:30" x14ac:dyDescent="0.25">
      <c r="B9" s="1">
        <v>7</v>
      </c>
      <c r="D9" s="3"/>
      <c r="E9" s="3"/>
      <c r="F9" s="3"/>
      <c r="G9" s="3"/>
      <c r="H9" s="3"/>
      <c r="I9" s="31"/>
      <c r="J9" s="31"/>
      <c r="K9" s="31"/>
      <c r="L9" s="31"/>
      <c r="M9" s="31"/>
      <c r="N9" s="31"/>
      <c r="O9" s="31"/>
      <c r="P9" s="15"/>
      <c r="Q9" s="15"/>
      <c r="R9" s="15"/>
      <c r="S9" s="5">
        <v>1</v>
      </c>
      <c r="T9" s="9"/>
      <c r="U9" s="8"/>
      <c r="V9" s="9"/>
      <c r="W9" s="9"/>
      <c r="X9" s="9"/>
      <c r="Y9" s="10"/>
      <c r="Z9" s="10"/>
      <c r="AC9" s="30">
        <f t="shared" si="0"/>
        <v>1</v>
      </c>
      <c r="AD9" s="30">
        <f>Model!D12</f>
        <v>1</v>
      </c>
    </row>
    <row r="10" spans="2:30" x14ac:dyDescent="0.25">
      <c r="B10" s="1">
        <v>8</v>
      </c>
      <c r="D10" s="3"/>
      <c r="E10" s="3"/>
      <c r="F10" s="3"/>
      <c r="G10" s="3"/>
      <c r="H10" s="31"/>
      <c r="I10" s="31"/>
      <c r="J10" s="31"/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5">
        <v>1</v>
      </c>
      <c r="T10" s="8"/>
      <c r="U10" s="9"/>
      <c r="V10" s="9"/>
      <c r="W10" s="9"/>
      <c r="X10" s="9"/>
      <c r="Y10" s="10"/>
      <c r="Z10" s="10"/>
      <c r="AC10" s="30">
        <f t="shared" si="0"/>
        <v>9</v>
      </c>
      <c r="AD10" s="30">
        <f>Model!D13</f>
        <v>9</v>
      </c>
    </row>
    <row r="11" spans="2:30" x14ac:dyDescent="0.25">
      <c r="B11" s="1">
        <v>9</v>
      </c>
      <c r="D11" s="3"/>
      <c r="E11" s="3"/>
      <c r="F11" s="3"/>
      <c r="G11" s="31"/>
      <c r="H11" s="31"/>
      <c r="I11" s="31"/>
      <c r="J11" s="31"/>
      <c r="K11" s="31"/>
      <c r="L11" s="31"/>
      <c r="M11" s="31"/>
      <c r="N11" s="31"/>
      <c r="O11" s="15"/>
      <c r="P11" s="15"/>
      <c r="Q11" s="15"/>
      <c r="R11" s="5">
        <v>1</v>
      </c>
      <c r="S11" s="8"/>
      <c r="T11" s="9"/>
      <c r="U11" s="9"/>
      <c r="V11" s="9"/>
      <c r="W11" s="9"/>
      <c r="X11" s="9"/>
      <c r="Y11" s="10"/>
      <c r="Z11" s="10"/>
      <c r="AC11" s="30">
        <f t="shared" si="0"/>
        <v>1</v>
      </c>
      <c r="AD11" s="30">
        <f>Model!D14</f>
        <v>1</v>
      </c>
    </row>
    <row r="12" spans="2:30" x14ac:dyDescent="0.25">
      <c r="B12" s="1">
        <v>10</v>
      </c>
      <c r="D12" s="3"/>
      <c r="E12" s="3"/>
      <c r="F12" s="31"/>
      <c r="G12" s="31"/>
      <c r="H12" s="31"/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5">
        <v>1</v>
      </c>
      <c r="S12" s="9"/>
      <c r="T12" s="9"/>
      <c r="U12" s="9"/>
      <c r="V12" s="9"/>
      <c r="W12" s="9"/>
      <c r="X12" s="9"/>
      <c r="Y12" s="10"/>
      <c r="Z12" s="10"/>
      <c r="AC12" s="30">
        <f t="shared" si="0"/>
        <v>10</v>
      </c>
      <c r="AD12" s="30">
        <f>Model!D15</f>
        <v>10</v>
      </c>
    </row>
    <row r="13" spans="2:30" x14ac:dyDescent="0.25">
      <c r="B13" s="1"/>
      <c r="C13" s="2"/>
      <c r="D13" s="21"/>
      <c r="E13" s="21"/>
      <c r="F13" s="21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10"/>
      <c r="S13" s="10"/>
      <c r="T13" s="11" t="s">
        <v>4</v>
      </c>
      <c r="U13" s="10"/>
      <c r="V13" s="10"/>
      <c r="W13" s="10"/>
      <c r="X13" s="10"/>
      <c r="Y13" s="10"/>
      <c r="Z13" s="10"/>
    </row>
    <row r="14" spans="2:30" x14ac:dyDescent="0.25">
      <c r="B14" s="1"/>
      <c r="C14" s="2"/>
      <c r="D14" s="21"/>
      <c r="E14" s="21"/>
      <c r="F14" s="24" t="s">
        <v>8</v>
      </c>
      <c r="G14" s="23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10"/>
      <c r="S14" s="10"/>
      <c r="T14" s="10"/>
      <c r="U14" s="10"/>
      <c r="V14" s="10"/>
      <c r="W14" s="10"/>
      <c r="X14" s="10"/>
      <c r="Y14" s="10"/>
      <c r="Z14" s="10"/>
    </row>
    <row r="15" spans="2:30" x14ac:dyDescent="0.25">
      <c r="C15" s="2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10"/>
      <c r="S15" s="10"/>
      <c r="T15" s="10"/>
      <c r="U15" s="10"/>
      <c r="V15" s="10"/>
      <c r="W15" s="10"/>
      <c r="X15" s="10"/>
      <c r="Y15" s="10"/>
      <c r="Z15" s="10"/>
    </row>
    <row r="16" spans="2:30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7AC45-CDD2-4D6E-B508-578826E7CA5E}">
  <sheetPr codeName="Sheet3"/>
  <dimension ref="B2:N25"/>
  <sheetViews>
    <sheetView workbookViewId="0">
      <selection activeCell="K12" sqref="K12"/>
    </sheetView>
  </sheetViews>
  <sheetFormatPr defaultRowHeight="15" x14ac:dyDescent="0.25"/>
  <cols>
    <col min="2" max="2" width="8.5703125" style="1" customWidth="1"/>
    <col min="3" max="3" width="10.140625" customWidth="1"/>
    <col min="4" max="4" width="8.5703125" customWidth="1"/>
  </cols>
  <sheetData>
    <row r="2" spans="2:14" x14ac:dyDescent="0.25">
      <c r="D2" s="14" t="s">
        <v>9</v>
      </c>
      <c r="E2" s="14">
        <v>1</v>
      </c>
      <c r="F2" s="14">
        <v>2</v>
      </c>
      <c r="G2" s="14">
        <v>3</v>
      </c>
      <c r="H2" s="14">
        <v>4</v>
      </c>
      <c r="I2" s="14">
        <v>5</v>
      </c>
      <c r="J2" s="14">
        <v>6</v>
      </c>
      <c r="K2" s="14">
        <v>7</v>
      </c>
      <c r="L2" s="14">
        <v>8</v>
      </c>
      <c r="M2" s="14">
        <v>9</v>
      </c>
      <c r="N2" s="14">
        <v>10</v>
      </c>
    </row>
    <row r="4" spans="2:14" x14ac:dyDescent="0.25">
      <c r="E4" t="s">
        <v>7</v>
      </c>
    </row>
    <row r="5" spans="2:14" x14ac:dyDescent="0.25">
      <c r="B5" s="17" t="s">
        <v>5</v>
      </c>
      <c r="C5" s="13" t="s">
        <v>3</v>
      </c>
      <c r="D5" s="13" t="s">
        <v>1</v>
      </c>
      <c r="E5" s="13">
        <v>7</v>
      </c>
      <c r="F5" s="13">
        <v>6</v>
      </c>
      <c r="G5" s="13">
        <v>6</v>
      </c>
      <c r="H5" s="13">
        <v>6</v>
      </c>
      <c r="I5" s="13">
        <v>3</v>
      </c>
      <c r="J5" s="13">
        <v>2</v>
      </c>
      <c r="K5" s="13">
        <v>2</v>
      </c>
      <c r="L5" s="13">
        <v>1</v>
      </c>
      <c r="M5" s="13">
        <v>1</v>
      </c>
      <c r="N5" s="13">
        <v>0</v>
      </c>
    </row>
    <row r="6" spans="2:14" x14ac:dyDescent="0.25">
      <c r="B6" s="14">
        <v>1</v>
      </c>
      <c r="C6" s="1">
        <v>9</v>
      </c>
      <c r="D6" s="15">
        <v>5</v>
      </c>
      <c r="E6" s="20">
        <f>$D6*(($C6-$D6/2)-E$5)</f>
        <v>-2.5</v>
      </c>
      <c r="F6" s="7">
        <f t="shared" ref="F6:N15" si="0">$D6*(($C6-$D6/2)-F$5)</f>
        <v>2.5</v>
      </c>
      <c r="G6" s="7">
        <f t="shared" si="0"/>
        <v>2.5</v>
      </c>
      <c r="H6" s="7">
        <f t="shared" si="0"/>
        <v>2.5</v>
      </c>
      <c r="I6" s="7">
        <f t="shared" si="0"/>
        <v>17.5</v>
      </c>
      <c r="J6" s="7">
        <f t="shared" si="0"/>
        <v>22.5</v>
      </c>
      <c r="K6" s="7">
        <f t="shared" si="0"/>
        <v>22.5</v>
      </c>
      <c r="L6" s="7">
        <f t="shared" si="0"/>
        <v>27.5</v>
      </c>
      <c r="M6" s="7">
        <f t="shared" si="0"/>
        <v>27.5</v>
      </c>
      <c r="N6" s="7">
        <f t="shared" si="0"/>
        <v>32.5</v>
      </c>
    </row>
    <row r="7" spans="2:14" x14ac:dyDescent="0.25">
      <c r="B7" s="14">
        <v>2</v>
      </c>
      <c r="C7" s="1">
        <v>7</v>
      </c>
      <c r="D7" s="15">
        <v>4</v>
      </c>
      <c r="E7" s="25"/>
      <c r="F7" s="7">
        <f t="shared" si="0"/>
        <v>-4</v>
      </c>
      <c r="G7" s="7">
        <f t="shared" si="0"/>
        <v>-4</v>
      </c>
      <c r="H7" s="7">
        <f t="shared" si="0"/>
        <v>-4</v>
      </c>
      <c r="I7" s="7">
        <f t="shared" si="0"/>
        <v>8</v>
      </c>
      <c r="J7" s="7">
        <f t="shared" si="0"/>
        <v>12</v>
      </c>
      <c r="K7" s="7">
        <f t="shared" si="0"/>
        <v>12</v>
      </c>
      <c r="L7" s="7">
        <f t="shared" si="0"/>
        <v>16</v>
      </c>
      <c r="M7" s="7">
        <f t="shared" si="0"/>
        <v>16</v>
      </c>
      <c r="N7" s="7">
        <f t="shared" si="0"/>
        <v>20</v>
      </c>
    </row>
    <row r="8" spans="2:14" x14ac:dyDescent="0.25">
      <c r="B8" s="14">
        <v>3</v>
      </c>
      <c r="C8" s="1">
        <v>6</v>
      </c>
      <c r="D8" s="15">
        <v>1</v>
      </c>
      <c r="E8" s="25"/>
      <c r="F8" s="27"/>
      <c r="G8" s="7">
        <f t="shared" si="0"/>
        <v>-0.5</v>
      </c>
      <c r="H8" s="7">
        <f t="shared" si="0"/>
        <v>-0.5</v>
      </c>
      <c r="I8" s="7">
        <f t="shared" si="0"/>
        <v>2.5</v>
      </c>
      <c r="J8" s="7">
        <f t="shared" si="0"/>
        <v>3.5</v>
      </c>
      <c r="K8" s="7">
        <f t="shared" si="0"/>
        <v>3.5</v>
      </c>
      <c r="L8" s="7">
        <f t="shared" si="0"/>
        <v>4.5</v>
      </c>
      <c r="M8" s="7">
        <f t="shared" si="0"/>
        <v>4.5</v>
      </c>
      <c r="N8" s="7">
        <f t="shared" si="0"/>
        <v>5.5</v>
      </c>
    </row>
    <row r="9" spans="2:14" x14ac:dyDescent="0.25">
      <c r="B9" s="14">
        <v>4</v>
      </c>
      <c r="C9" s="1">
        <v>6</v>
      </c>
      <c r="D9" s="15">
        <v>1</v>
      </c>
      <c r="E9" s="25"/>
      <c r="F9" s="27"/>
      <c r="G9" s="27"/>
      <c r="H9" s="7">
        <f t="shared" si="0"/>
        <v>-0.5</v>
      </c>
      <c r="I9" s="7">
        <f t="shared" si="0"/>
        <v>2.5</v>
      </c>
      <c r="J9" s="7">
        <f t="shared" si="0"/>
        <v>3.5</v>
      </c>
      <c r="K9" s="7">
        <f t="shared" si="0"/>
        <v>3.5</v>
      </c>
      <c r="L9" s="7">
        <f t="shared" si="0"/>
        <v>4.5</v>
      </c>
      <c r="M9" s="7">
        <f t="shared" si="0"/>
        <v>4.5</v>
      </c>
      <c r="N9" s="7">
        <f t="shared" si="0"/>
        <v>5.5</v>
      </c>
    </row>
    <row r="10" spans="2:14" x14ac:dyDescent="0.25">
      <c r="B10" s="14">
        <v>5</v>
      </c>
      <c r="C10" s="1">
        <v>6</v>
      </c>
      <c r="D10" s="15">
        <v>12</v>
      </c>
      <c r="E10" s="25"/>
      <c r="F10" s="27"/>
      <c r="G10" s="27"/>
      <c r="H10" s="27"/>
      <c r="I10" s="7">
        <f t="shared" si="0"/>
        <v>-36</v>
      </c>
      <c r="J10" s="7">
        <f t="shared" si="0"/>
        <v>-24</v>
      </c>
      <c r="K10" s="7">
        <f t="shared" si="0"/>
        <v>-24</v>
      </c>
      <c r="L10" s="7">
        <f t="shared" si="0"/>
        <v>-12</v>
      </c>
      <c r="M10" s="7">
        <f t="shared" si="0"/>
        <v>-12</v>
      </c>
      <c r="N10" s="7">
        <f t="shared" si="0"/>
        <v>0</v>
      </c>
    </row>
    <row r="11" spans="2:14" x14ac:dyDescent="0.25">
      <c r="B11" s="14">
        <v>6</v>
      </c>
      <c r="C11" s="1">
        <v>3</v>
      </c>
      <c r="D11" s="15">
        <v>8</v>
      </c>
      <c r="E11" s="25"/>
      <c r="F11" s="27"/>
      <c r="G11" s="27"/>
      <c r="H11" s="27"/>
      <c r="I11" s="27"/>
      <c r="J11" s="7">
        <f t="shared" si="0"/>
        <v>-24</v>
      </c>
      <c r="K11" s="7">
        <f t="shared" si="0"/>
        <v>-24</v>
      </c>
      <c r="L11" s="7">
        <f t="shared" si="0"/>
        <v>-16</v>
      </c>
      <c r="M11" s="7">
        <f t="shared" si="0"/>
        <v>-16</v>
      </c>
      <c r="N11" s="7">
        <f t="shared" si="0"/>
        <v>-8</v>
      </c>
    </row>
    <row r="12" spans="2:14" x14ac:dyDescent="0.25">
      <c r="B12" s="14">
        <v>7</v>
      </c>
      <c r="C12" s="1">
        <v>2</v>
      </c>
      <c r="D12" s="15">
        <v>1</v>
      </c>
      <c r="E12" s="25"/>
      <c r="F12" s="27"/>
      <c r="G12" s="27"/>
      <c r="H12" s="27"/>
      <c r="I12" s="27"/>
      <c r="J12" s="27"/>
      <c r="K12" s="7">
        <f t="shared" si="0"/>
        <v>-0.5</v>
      </c>
      <c r="L12" s="7">
        <f t="shared" si="0"/>
        <v>0.5</v>
      </c>
      <c r="M12" s="7">
        <f t="shared" si="0"/>
        <v>0.5</v>
      </c>
      <c r="N12" s="7">
        <f t="shared" si="0"/>
        <v>1.5</v>
      </c>
    </row>
    <row r="13" spans="2:14" x14ac:dyDescent="0.25">
      <c r="B13" s="14">
        <v>8</v>
      </c>
      <c r="C13" s="1">
        <v>2</v>
      </c>
      <c r="D13" s="15">
        <v>9</v>
      </c>
      <c r="E13" s="25"/>
      <c r="F13" s="27"/>
      <c r="G13" s="27"/>
      <c r="H13" s="27"/>
      <c r="I13" s="27"/>
      <c r="J13" s="27"/>
      <c r="K13" s="27"/>
      <c r="L13" s="7">
        <f t="shared" si="0"/>
        <v>-31.5</v>
      </c>
      <c r="M13" s="7">
        <f t="shared" si="0"/>
        <v>-31.5</v>
      </c>
      <c r="N13" s="7">
        <f t="shared" si="0"/>
        <v>-22.5</v>
      </c>
    </row>
    <row r="14" spans="2:14" x14ac:dyDescent="0.25">
      <c r="B14" s="14">
        <v>9</v>
      </c>
      <c r="C14" s="1">
        <v>1</v>
      </c>
      <c r="D14" s="15">
        <v>1</v>
      </c>
      <c r="E14" s="25"/>
      <c r="F14" s="27"/>
      <c r="G14" s="27"/>
      <c r="H14" s="27"/>
      <c r="I14" s="27"/>
      <c r="J14" s="27"/>
      <c r="K14" s="27"/>
      <c r="L14" s="27">
        <f t="shared" si="0"/>
        <v>-0.5</v>
      </c>
      <c r="M14" s="7">
        <f t="shared" si="0"/>
        <v>-0.5</v>
      </c>
      <c r="N14" s="7">
        <f t="shared" si="0"/>
        <v>0.5</v>
      </c>
    </row>
    <row r="15" spans="2:14" x14ac:dyDescent="0.25">
      <c r="B15" s="17">
        <v>10</v>
      </c>
      <c r="C15" s="13">
        <v>1</v>
      </c>
      <c r="D15" s="18">
        <v>10</v>
      </c>
      <c r="E15" s="26"/>
      <c r="F15" s="28"/>
      <c r="G15" s="28"/>
      <c r="H15" s="28"/>
      <c r="I15" s="28"/>
      <c r="J15" s="28"/>
      <c r="K15" s="28"/>
      <c r="L15" s="28">
        <f t="shared" si="0"/>
        <v>-50</v>
      </c>
      <c r="M15" s="28">
        <f t="shared" si="0"/>
        <v>-50</v>
      </c>
      <c r="N15" s="19">
        <f t="shared" si="0"/>
        <v>-40</v>
      </c>
    </row>
    <row r="16" spans="2:14" x14ac:dyDescent="0.25">
      <c r="D16" s="12" t="s">
        <v>6</v>
      </c>
      <c r="E16" s="1">
        <f>SUM(E6:E15)</f>
        <v>-2.5</v>
      </c>
      <c r="F16" s="1">
        <f t="shared" ref="F16:N16" si="1">SUM(F6:F15)</f>
        <v>-1.5</v>
      </c>
      <c r="G16" s="1">
        <f t="shared" si="1"/>
        <v>-2</v>
      </c>
      <c r="H16" s="1">
        <f t="shared" si="1"/>
        <v>-2.5</v>
      </c>
      <c r="I16" s="1">
        <f t="shared" si="1"/>
        <v>-5.5</v>
      </c>
      <c r="J16" s="1">
        <f t="shared" si="1"/>
        <v>-6.5</v>
      </c>
      <c r="K16" s="1">
        <f t="shared" si="1"/>
        <v>-7</v>
      </c>
      <c r="L16" s="1">
        <f t="shared" si="1"/>
        <v>-57</v>
      </c>
      <c r="M16" s="1">
        <f t="shared" si="1"/>
        <v>-57</v>
      </c>
      <c r="N16" s="1">
        <f t="shared" si="1"/>
        <v>-5</v>
      </c>
    </row>
    <row r="17" spans="2:14" x14ac:dyDescent="0.25">
      <c r="D17" s="12" t="s">
        <v>2</v>
      </c>
      <c r="E17" s="16" t="str">
        <f>IF(E16&lt;0,"PASS","FAIL")</f>
        <v>PASS</v>
      </c>
      <c r="F17" s="16" t="str">
        <f t="shared" ref="F17:N17" si="2">IF(F16&lt;0,"PASS","FAIL")</f>
        <v>PASS</v>
      </c>
      <c r="G17" s="16" t="str">
        <f t="shared" si="2"/>
        <v>PASS</v>
      </c>
      <c r="H17" s="16" t="str">
        <f t="shared" si="2"/>
        <v>PASS</v>
      </c>
      <c r="I17" s="16" t="str">
        <f t="shared" si="2"/>
        <v>PASS</v>
      </c>
      <c r="J17" s="16" t="str">
        <f t="shared" si="2"/>
        <v>PASS</v>
      </c>
      <c r="K17" s="16" t="str">
        <f t="shared" si="2"/>
        <v>PASS</v>
      </c>
      <c r="L17" s="16" t="str">
        <f t="shared" si="2"/>
        <v>PASS</v>
      </c>
      <c r="M17" s="16" t="str">
        <f t="shared" si="2"/>
        <v>PASS</v>
      </c>
      <c r="N17" s="16" t="str">
        <f t="shared" si="2"/>
        <v>PASS</v>
      </c>
    </row>
    <row r="22" spans="2:14" x14ac:dyDescent="0.25"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</row>
    <row r="24" spans="2:14" x14ac:dyDescent="0.25">
      <c r="B24" s="7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</row>
    <row r="25" spans="2:14" x14ac:dyDescent="0.25">
      <c r="B25" s="7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</row>
  </sheetData>
  <conditionalFormatting sqref="E17:N17">
    <cfRule type="cellIs" dxfId="0" priority="3" operator="equal">
      <formula>"PASS"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Sketch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2022-02-24T22:34:52Z</dcterms:created>
  <dcterms:modified xsi:type="dcterms:W3CDTF">2022-09-28T17:43:21Z</dcterms:modified>
</cp:coreProperties>
</file>